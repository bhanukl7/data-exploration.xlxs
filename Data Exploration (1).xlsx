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e4642516f06ae46/Desktop/entri tasks/"/>
    </mc:Choice>
  </mc:AlternateContent>
  <xr:revisionPtr revIDLastSave="116" documentId="11_82D5DB084A5AC9D6C709A4525918A55A41D14F7C" xr6:coauthVersionLast="47" xr6:coauthVersionMax="47" xr10:uidLastSave="{CEBCDD5F-599E-42AC-B3E3-8A440A9696EA}"/>
  <bookViews>
    <workbookView xWindow="-110" yWindow="-110" windowWidth="19420" windowHeight="1150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NTpr+guxoqlOKfG+TiLfpEDaEvUEuMLej7q+ZEqyTWs="/>
    </ext>
  </extLst>
</workbook>
</file>

<file path=xl/calcChain.xml><?xml version="1.0" encoding="utf-8"?>
<calcChain xmlns="http://schemas.openxmlformats.org/spreadsheetml/2006/main">
  <c r="B2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M16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L65" i="2"/>
  <c r="L62" i="2"/>
  <c r="L59" i="2"/>
  <c r="G2" i="2" a="1"/>
  <c r="G2" i="2" s="1"/>
  <c r="L21" i="2" a="1"/>
  <c r="L21" i="2" s="1"/>
  <c r="G3" i="2" a="1"/>
  <c r="G3" i="2" s="1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 s="1"/>
  <c r="G26" i="2" a="1"/>
  <c r="G26" i="2" s="1"/>
  <c r="G27" i="2" a="1"/>
  <c r="G27" i="2" s="1"/>
  <c r="G28" i="2" a="1"/>
  <c r="G28" i="2" s="1"/>
  <c r="G29" i="2" a="1"/>
  <c r="G29" i="2" s="1"/>
  <c r="G30" i="2" a="1"/>
  <c r="G30" i="2" s="1"/>
  <c r="G31" i="2" a="1"/>
  <c r="G31" i="2" s="1"/>
  <c r="G32" i="2" a="1"/>
  <c r="G32" i="2" s="1"/>
  <c r="G33" i="2" a="1"/>
  <c r="G33" i="2" s="1"/>
  <c r="G34" i="2" a="1"/>
  <c r="G34" i="2" s="1"/>
  <c r="G35" i="2" a="1"/>
  <c r="G35" i="2" s="1"/>
  <c r="M17" i="2"/>
  <c r="M11" i="2"/>
  <c r="M10" i="2"/>
  <c r="M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<sst xmlns="http://schemas.openxmlformats.org/spreadsheetml/2006/main" count="182" uniqueCount="125">
  <si>
    <t>Perform the following in the dataset from the 'Dataset' sheet.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</si>
  <si>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</si>
  <si>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</si>
  <si>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</si>
  <si>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</si>
  <si>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</si>
  <si>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</si>
  <si>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</si>
  <si>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</si>
  <si>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</si>
  <si>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1) Sum, Count, Average:</t>
  </si>
  <si>
    <t>Electronics</t>
  </si>
  <si>
    <t>15-FEB-US</t>
  </si>
  <si>
    <t>Sneakers</t>
  </si>
  <si>
    <t>Nike</t>
  </si>
  <si>
    <t>Fashion</t>
  </si>
  <si>
    <t>• What is the total price of all products in the dataset?</t>
  </si>
  <si>
    <t>03-MAR-US</t>
  </si>
  <si>
    <t>Coffee Maker</t>
  </si>
  <si>
    <t>Keurig</t>
  </si>
  <si>
    <t>Kitchen</t>
  </si>
  <si>
    <t>11-APR-US</t>
  </si>
  <si>
    <t>Smartphone</t>
  </si>
  <si>
    <t>Samsung</t>
  </si>
  <si>
    <t>• How many products are there in the dataset?</t>
  </si>
  <si>
    <t>22-MAY-US</t>
  </si>
  <si>
    <t>Backpack</t>
  </si>
  <si>
    <t>North Face</t>
  </si>
  <si>
    <t>Outdoor</t>
  </si>
  <si>
    <t>• Calculate the average price of the products.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</si>
  <si>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</si>
  <si>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</si>
  <si>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</si>
  <si>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</si>
  <si>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</si>
  <si>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</si>
  <si>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</si>
  <si>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</si>
  <si>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2) Min and Max: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</si>
  <si>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</si>
  <si>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</si>
  <si>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</si>
  <si>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</si>
  <si>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</si>
  <si>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</si>
  <si>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</si>
  <si>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</si>
  <si>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</si>
  <si>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• Determine the minimum price among all products.</t>
  </si>
  <si>
    <t>25-NOV-AU</t>
  </si>
  <si>
    <t>08-DEC-DE</t>
  </si>
  <si>
    <t>Nespresso</t>
  </si>
  <si>
    <t>18-FEB-CA</t>
  </si>
  <si>
    <t>Smartwatch</t>
  </si>
  <si>
    <t>Fitbit</t>
  </si>
  <si>
    <t>• Find the maximum price among all products.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</si>
  <si>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</si>
  <si>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</si>
  <si>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</si>
  <si>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</si>
  <si>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</si>
  <si>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</si>
  <si>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</si>
  <si>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</si>
  <si>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</si>
  <si>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</si>
  <si>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</si>
  <si>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</si>
  <si>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</si>
  <si>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</si>
  <si>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</si>
  <si>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</si>
  <si>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</si>
  <si>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</si>
  <si>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</si>
  <si>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3) IF Function: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</si>
  <si>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</si>
  <si>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</si>
  <si>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</si>
  <si>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</si>
  <si>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</si>
  <si>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</si>
  <si>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</si>
  <si>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• Using an IF function, create a new column named Price Range to categorize products with a price greater than or equal to $500 as 'High Price' and others as 'Standard Price'.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</si>
  <si>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</si>
  <si>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</si>
  <si>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</si>
  <si>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</si>
  <si>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</si>
  <si>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</si>
  <si>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</si>
  <si>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</si>
  <si>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</si>
  <si>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</si>
  <si>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</si>
  <si>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</si>
  <si>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</si>
  <si>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4) SUMIF and COUNTIF:</t>
  </si>
  <si>
    <t>02-DEC-CA</t>
  </si>
  <si>
    <t>Jeans</t>
  </si>
  <si>
    <t>Levi's</t>
  </si>
  <si>
    <t>09-JUL-FR</t>
  </si>
  <si>
    <t>Watch</t>
  </si>
  <si>
    <t>Casio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</si>
  <si>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</si>
  <si>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</si>
  <si>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</si>
  <si>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</si>
  <si>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</si>
  <si>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</si>
  <si>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products of dataset</t>
  </si>
  <si>
    <t>average price of the product</t>
  </si>
  <si>
    <t xml:space="preserve">2) MIN and MAX Price </t>
  </si>
  <si>
    <t xml:space="preserve">Min price of the product </t>
  </si>
  <si>
    <t>Max price of the product</t>
  </si>
  <si>
    <t>3) IF Function</t>
  </si>
  <si>
    <r>
      <t xml:space="preserve">Price Range </t>
    </r>
    <r>
      <rPr>
        <b/>
        <u/>
        <sz val="10"/>
        <color theme="1"/>
        <rFont val="Arial"/>
        <family val="2"/>
      </rPr>
      <t>($)</t>
    </r>
  </si>
  <si>
    <t>price of electronics using sumif</t>
  </si>
  <si>
    <t>price of coffe maker and asus using sumifs</t>
  </si>
  <si>
    <t>count of a products using price less than $100 using countif</t>
  </si>
  <si>
    <t>DAY</t>
  </si>
  <si>
    <t>Country Code</t>
  </si>
  <si>
    <t>Month</t>
  </si>
  <si>
    <t>Data Exploration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</si>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</sst>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sz val="10"/>
      <color theme="1"/>
      <name val="Arial"/>
      <scheme val="minor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6" xfId="0" applyFont="1" applyBorder="1"/>
    <xf numFmtId="0" fontId="2" fillId="3" borderId="5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8" xfId="0" applyFont="1" applyFill="1" applyBorder="1" applyAlignment="1">
      <alignment horizontal="right"/>
    </xf>
    <xf numFmtId="0" fontId="2" fillId="3" borderId="9" xfId="0" applyFont="1" applyFill="1" applyBorder="1"/>
    <xf numFmtId="0" fontId="8" fillId="2" borderId="3" xfId="0" applyFont="1" applyFill="1" applyBorder="1" applyAlignment="1">
      <alignment horizontal="center"/>
    </xf>
    <xf numFmtId="0" fontId="9" fillId="0" borderId="0" xfId="0" applyFont="1"/>
    <xf numFmtId="0" fontId="10" fillId="0" borderId="0" xfId="1"/>
  </cellXfs>
  <cellStyles count="2">
    <cellStyle name="Hyperlink" xfId="1" builtinId="8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17/06/relationships/rdRichValue" Target="richData/rdrichvalue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33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BA7671-724C-4423-A2BD-2CD736BD6CAA}" name="Table1" displayName="Table1" ref="A1:J35" totalsRowShown="0" headerRowDxfId="14" dataDxfId="12" headerRowBorderDxfId="13" tableBorderDxfId="11" totalsRowBorderDxfId="10">
  <autoFilter ref="A1:J35" xr:uid="{AABA7671-724C-4423-A2BD-2CD736BD6CAA}"/>
  <tableColumns count="10">
    <tableColumn id="1" xr3:uid="{319AC443-4C84-4561-B156-BBC52483495F}" name="Product ID" dataDxfId="9"/>
    <tableColumn id="11" xr3:uid="{6CE82AAC-5F2F-4A0D-B942-09A45A1D1414}" name="Month" dataDxfId="0">
      <calculatedColumnFormula>MID(A2,4,3)</calculatedColumnFormula>
    </tableColumn>
    <tableColumn id="10" xr3:uid="{378DE613-4F6C-4C2E-896F-BEF64A136538}" name="Country Code" dataDxfId="1">
      <calculatedColumnFormula>RIGHT(A2,2)</calculatedColumnFormula>
    </tableColumn>
    <tableColumn id="2" xr3:uid="{8C470AF5-971A-4DB6-B9A2-414B6D4E3B80}" name="Product Name" dataDxfId="8"/>
    <tableColumn id="9" xr3:uid="{E85BF1D0-8A4B-4198-A18C-FA474B94C608}" name="DAY" dataDxfId="2">
      <calculatedColumnFormula>LEFT(D2,2)</calculatedColumnFormula>
    </tableColumn>
    <tableColumn id="3" xr3:uid="{244A725E-76B3-4D42-B542-636B2D9EAA13}" name="Brand Name" dataDxfId="7"/>
    <tableColumn id="7" xr3:uid="{2CF5FB09-A770-4D98-9EDD-DC2237D54BF8}" name="Price Range ($)" dataDxfId="6">
      <calculatedColumnFormula array="1">IF(H1:H34&gt;=500,"HIGH PRICE","STANDARD PRICE")</calculatedColumnFormula>
    </tableColumn>
    <tableColumn id="4" xr3:uid="{1AD184E2-6BD8-4FD3-B92D-4A09CB727603}" name="Price ($)" dataDxfId="5"/>
    <tableColumn id="5" xr3:uid="{0E924050-9A47-417E-BF82-E3B343BFDC5E}" name="Quantity" dataDxfId="4"/>
    <tableColumn id="6" xr3:uid="{35F2C025-8299-47CF-878F-215FCE868048}" name="Categor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Data%20Exploration.xlsx?we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C22" sqref="C22"/>
    </sheetView>
  </sheetViews>
  <sheetFormatPr defaultColWidth="12.6328125" defaultRowHeight="15" customHeight="1" x14ac:dyDescent="0.25"/>
  <cols>
    <col min="1" max="6" width="12.6328125" customWidth="1"/>
  </cols>
  <sheetData>
    <row r="1" spans="1:26" ht="15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/>
      <c r="B3" s="3" t="s">
        <v>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2"/>
      <c r="C4" s="4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2"/>
      <c r="C5" s="4" t="s">
        <v>24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4" t="s">
        <v>29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3" t="s">
        <v>38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"/>
      <c r="B9" s="2"/>
      <c r="C9" s="4" t="s">
        <v>48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"/>
      <c r="B10" s="2"/>
      <c r="C10" s="4" t="s">
        <v>55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3" t="s">
        <v>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4" t="s">
        <v>83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3" t="s">
        <v>97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4" t="s">
        <v>104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4" t="s">
        <v>105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3" t="s">
        <v>106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4" t="s">
        <v>107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4" t="s">
        <v>108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4" t="s">
        <v>109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zoomScale="115" zoomScaleNormal="115" workbookViewId="0">
      <selection activeCell="B3" sqref="B3"/>
    </sheetView>
  </sheetViews>
  <sheetFormatPr defaultColWidth="12.6328125" defaultRowHeight="15" customHeight="1" x14ac:dyDescent="0.25"/>
  <cols>
    <col min="1" max="3" width="12.6328125" customWidth="1"/>
    <col min="4" max="5" width="16.81640625" customWidth="1"/>
    <col min="6" max="7" width="14.81640625" customWidth="1"/>
    <col min="8" max="10" width="12.6328125" customWidth="1"/>
    <col min="12" max="12" width="26.6328125" customWidth="1"/>
  </cols>
  <sheetData>
    <row r="1" spans="1:16" ht="15.75" customHeight="1" x14ac:dyDescent="0.3">
      <c r="A1" s="6" t="s">
        <v>1</v>
      </c>
      <c r="B1" s="6" t="s">
        <v>122</v>
      </c>
      <c r="C1" s="6" t="s">
        <v>121</v>
      </c>
      <c r="D1" s="7" t="s">
        <v>2</v>
      </c>
      <c r="E1" s="7" t="s">
        <v>120</v>
      </c>
      <c r="F1" s="7" t="s">
        <v>3</v>
      </c>
      <c r="G1" s="21" t="s">
        <v>116</v>
      </c>
      <c r="H1" s="7" t="s">
        <v>4</v>
      </c>
      <c r="I1" s="7" t="s">
        <v>5</v>
      </c>
      <c r="J1" s="8" t="s">
        <v>6</v>
      </c>
    </row>
    <row r="2" spans="1:16" ht="15.75" customHeight="1" x14ac:dyDescent="0.25">
      <c r="A2" s="9" t="s">
        <v>7</v>
      </c>
      <c r="B2" s="9" t="str">
        <f t="shared" ref="B2:B35" si="0">MID(A2,4,3)</f>
        <v>JAN</v>
      </c>
      <c r="C2" s="9" t="str">
        <f t="shared" ref="C2:C35" si="1">RIGHT(A2,2)</f>
        <v>US</v>
      </c>
      <c r="D2" s="10" t="s">
        <v>8</v>
      </c>
      <c r="E2" s="10" t="str">
        <f t="shared" ref="E2:E35" si="2">LEFT(D2,2)</f>
        <v>La</v>
      </c>
      <c r="F2" s="10" t="s">
        <v>9</v>
      </c>
      <c r="G2" s="10" t="e" cm="1" vm="1">
        <f t="array" aca="1" ref="G2" ca="1">IF(H1:H34&gt;=500,"HIGH PRICE","STANDARD PRICE")</f>
        <v>#VALUE!</v>
      </c>
      <c r="H2" s="11">
        <v>1000</v>
      </c>
      <c r="I2" s="11">
        <v>30</v>
      </c>
      <c r="J2" s="12" t="s">
        <v>11</v>
      </c>
    </row>
    <row r="3" spans="1:16" ht="15.75" customHeight="1" x14ac:dyDescent="0.3">
      <c r="A3" s="13" t="s">
        <v>12</v>
      </c>
      <c r="B3" s="13" t="s">
        <v>124</v>
      </c>
      <c r="C3" s="13" t="str">
        <f t="shared" si="1"/>
        <v>US</v>
      </c>
      <c r="D3" s="14" t="s">
        <v>13</v>
      </c>
      <c r="E3" s="14" t="str">
        <f t="shared" si="2"/>
        <v>Sn</v>
      </c>
      <c r="F3" s="14" t="s">
        <v>14</v>
      </c>
      <c r="G3" s="14" t="e" cm="1" vm="1">
        <f t="array" aca="1" ref="G3" ca="1">IF(H2:H35&gt;=500,"HIGH PRICE","STANDARD PRICE")</f>
        <v>#VALUE!</v>
      </c>
      <c r="H3" s="15">
        <v>80</v>
      </c>
      <c r="I3" s="15">
        <v>15</v>
      </c>
      <c r="J3" s="16" t="s">
        <v>15</v>
      </c>
      <c r="L3" s="3" t="s">
        <v>10</v>
      </c>
      <c r="M3" s="2"/>
      <c r="N3" s="2"/>
      <c r="O3" s="2"/>
      <c r="P3" s="2"/>
    </row>
    <row r="4" spans="1:16" ht="15.75" customHeight="1" x14ac:dyDescent="0.35">
      <c r="A4" s="9" t="s">
        <v>17</v>
      </c>
      <c r="B4" s="9" t="str">
        <f t="shared" si="0"/>
        <v>MAR</v>
      </c>
      <c r="C4" s="9" t="str">
        <f t="shared" si="1"/>
        <v>US</v>
      </c>
      <c r="D4" s="10" t="s">
        <v>18</v>
      </c>
      <c r="E4" s="10" t="str">
        <f t="shared" si="2"/>
        <v>Co</v>
      </c>
      <c r="F4" s="10" t="s">
        <v>19</v>
      </c>
      <c r="G4" s="10" t="e" cm="1" vm="1">
        <f t="array" aca="1" ref="G4" ca="1">IF(H3:H36&gt;=500,"HIGH PRICE","STANDARD PRICE")</f>
        <v>#VALUE!</v>
      </c>
      <c r="H4" s="11">
        <v>130</v>
      </c>
      <c r="I4" s="11">
        <v>40</v>
      </c>
      <c r="J4" s="12" t="s">
        <v>20</v>
      </c>
      <c r="L4" s="4" t="s">
        <v>16</v>
      </c>
      <c r="N4" s="2"/>
      <c r="O4" s="2"/>
      <c r="P4" s="2"/>
    </row>
    <row r="5" spans="1:16" ht="15.75" customHeight="1" x14ac:dyDescent="0.35">
      <c r="A5" s="13" t="s">
        <v>21</v>
      </c>
      <c r="B5" s="13" t="str">
        <f t="shared" si="0"/>
        <v>APR</v>
      </c>
      <c r="C5" s="13" t="str">
        <f t="shared" si="1"/>
        <v>US</v>
      </c>
      <c r="D5" s="14" t="s">
        <v>22</v>
      </c>
      <c r="E5" s="14" t="str">
        <f t="shared" si="2"/>
        <v>Sm</v>
      </c>
      <c r="F5" s="14" t="s">
        <v>23</v>
      </c>
      <c r="G5" s="14" t="e" cm="1" vm="1">
        <f t="array" aca="1" ref="G5" ca="1">IF(H4:H37&gt;=500,"HIGH PRICE","STANDARD PRICE")</f>
        <v>#VALUE!</v>
      </c>
      <c r="H5" s="15">
        <v>900</v>
      </c>
      <c r="I5" s="15">
        <v>25</v>
      </c>
      <c r="J5" s="16" t="s">
        <v>11</v>
      </c>
      <c r="L5" s="4"/>
    </row>
    <row r="6" spans="1:16" ht="15.75" customHeight="1" x14ac:dyDescent="0.25">
      <c r="A6" s="9" t="s">
        <v>25</v>
      </c>
      <c r="B6" s="9" t="str">
        <f t="shared" si="0"/>
        <v>MAY</v>
      </c>
      <c r="C6" s="9" t="str">
        <f t="shared" si="1"/>
        <v>US</v>
      </c>
      <c r="D6" s="10" t="s">
        <v>26</v>
      </c>
      <c r="E6" s="10" t="str">
        <f t="shared" si="2"/>
        <v>Ba</v>
      </c>
      <c r="F6" s="10" t="s">
        <v>27</v>
      </c>
      <c r="G6" s="10" t="e" cm="1" vm="1">
        <f t="array" aca="1" ref="G6" ca="1">IF(H5:H38&gt;=500,"HIGH PRICE","STANDARD PRICE")</f>
        <v>#VALUE!</v>
      </c>
      <c r="H6" s="11">
        <v>70</v>
      </c>
      <c r="I6" s="11">
        <v>20</v>
      </c>
      <c r="J6" s="12" t="s">
        <v>28</v>
      </c>
      <c r="M6" s="5">
        <f>SUM(H2:H35)</f>
        <v>10100</v>
      </c>
    </row>
    <row r="7" spans="1:16" ht="15.75" customHeight="1" x14ac:dyDescent="0.25">
      <c r="A7" s="13" t="s">
        <v>30</v>
      </c>
      <c r="B7" s="13" t="str">
        <f t="shared" si="0"/>
        <v>JUN</v>
      </c>
      <c r="C7" s="13" t="str">
        <f t="shared" si="1"/>
        <v>UK</v>
      </c>
      <c r="D7" s="14" t="s">
        <v>31</v>
      </c>
      <c r="E7" s="14" t="str">
        <f t="shared" si="2"/>
        <v>He</v>
      </c>
      <c r="F7" s="14" t="s">
        <v>32</v>
      </c>
      <c r="G7" s="14" t="e" cm="1" vm="1">
        <f t="array" aca="1" ref="G7" ca="1">IF(H6:H39&gt;=500,"HIGH PRICE","STANDARD PRICE")</f>
        <v>#VALUE!</v>
      </c>
      <c r="H7" s="15">
        <v>200</v>
      </c>
      <c r="I7" s="15">
        <v>45</v>
      </c>
      <c r="J7" s="16" t="s">
        <v>11</v>
      </c>
    </row>
    <row r="8" spans="1:16" ht="15.75" customHeight="1" x14ac:dyDescent="0.35">
      <c r="A8" s="9" t="s">
        <v>33</v>
      </c>
      <c r="B8" s="9" t="str">
        <f t="shared" si="0"/>
        <v>JUL</v>
      </c>
      <c r="C8" s="9" t="str">
        <f t="shared" si="1"/>
        <v>UK</v>
      </c>
      <c r="D8" s="10" t="s">
        <v>34</v>
      </c>
      <c r="E8" s="10" t="str">
        <f t="shared" si="2"/>
        <v>T-</v>
      </c>
      <c r="F8" s="10" t="s">
        <v>35</v>
      </c>
      <c r="G8" s="10" t="e" cm="1" vm="1">
        <f t="array" aca="1" ref="G8" ca="1">IF(H7:H40&gt;=500,"HIGH PRICE","STANDARD PRICE")</f>
        <v>#VALUE!</v>
      </c>
      <c r="H8" s="11">
        <v>30</v>
      </c>
      <c r="I8" s="11">
        <v>5</v>
      </c>
      <c r="J8" s="12" t="s">
        <v>15</v>
      </c>
      <c r="L8" s="4" t="s">
        <v>24</v>
      </c>
    </row>
    <row r="9" spans="1:16" ht="15.75" customHeight="1" x14ac:dyDescent="0.25">
      <c r="A9" s="13" t="s">
        <v>36</v>
      </c>
      <c r="B9" s="13" t="str">
        <f t="shared" si="0"/>
        <v>AUG</v>
      </c>
      <c r="C9" s="13" t="str">
        <f t="shared" si="1"/>
        <v>UK</v>
      </c>
      <c r="D9" s="14" t="s">
        <v>37</v>
      </c>
      <c r="E9" s="14" t="str">
        <f t="shared" si="2"/>
        <v>Bl</v>
      </c>
      <c r="F9" s="14" t="s">
        <v>39</v>
      </c>
      <c r="G9" s="14" t="e" cm="1" vm="1">
        <f t="array" aca="1" ref="G9" ca="1">IF(H8:H41&gt;=500,"HIGH PRICE","STANDARD PRICE")</f>
        <v>#VALUE!</v>
      </c>
      <c r="H9" s="15">
        <v>90</v>
      </c>
      <c r="I9" s="15">
        <v>35</v>
      </c>
      <c r="J9" s="16" t="s">
        <v>20</v>
      </c>
    </row>
    <row r="10" spans="1:16" ht="15.75" customHeight="1" x14ac:dyDescent="0.25">
      <c r="A10" s="9" t="s">
        <v>40</v>
      </c>
      <c r="B10" s="9" t="str">
        <f t="shared" si="0"/>
        <v>SEP</v>
      </c>
      <c r="C10" s="9" t="str">
        <f t="shared" si="1"/>
        <v>UK</v>
      </c>
      <c r="D10" s="10" t="s">
        <v>41</v>
      </c>
      <c r="E10" s="10" t="str">
        <f t="shared" si="2"/>
        <v>Ta</v>
      </c>
      <c r="F10" s="10" t="s">
        <v>42</v>
      </c>
      <c r="G10" s="10" t="e" cm="1" vm="1">
        <f t="array" aca="1" ref="G10" ca="1">IF(H9:H42&gt;=500,"HIGH PRICE","STANDARD PRICE")</f>
        <v>#VALUE!</v>
      </c>
      <c r="H10" s="11">
        <v>500</v>
      </c>
      <c r="I10" s="11">
        <v>50</v>
      </c>
      <c r="J10" s="12" t="s">
        <v>11</v>
      </c>
      <c r="L10" t="s">
        <v>110</v>
      </c>
      <c r="M10">
        <f>COUNTA(Table1[[#All],[Product Name]])</f>
        <v>35</v>
      </c>
    </row>
    <row r="11" spans="1:16" ht="15.75" customHeight="1" x14ac:dyDescent="0.25">
      <c r="A11" s="13" t="s">
        <v>43</v>
      </c>
      <c r="B11" s="13" t="str">
        <f t="shared" si="0"/>
        <v>OCT</v>
      </c>
      <c r="C11" s="13" t="str">
        <f t="shared" si="1"/>
        <v>UK</v>
      </c>
      <c r="D11" s="14" t="s">
        <v>44</v>
      </c>
      <c r="E11" s="14" t="str">
        <f t="shared" si="2"/>
        <v>Hi</v>
      </c>
      <c r="F11" s="14" t="s">
        <v>45</v>
      </c>
      <c r="G11" s="14" t="e" cm="1" vm="1">
        <f t="array" aca="1" ref="G11" ca="1">IF(H10:H43&gt;=500,"HIGH PRICE","STANDARD PRICE")</f>
        <v>#VALUE!</v>
      </c>
      <c r="H11" s="15">
        <v>130</v>
      </c>
      <c r="I11" s="15">
        <v>10</v>
      </c>
      <c r="J11" s="16" t="s">
        <v>28</v>
      </c>
      <c r="L11" t="s">
        <v>111</v>
      </c>
      <c r="M11">
        <f>AVERAGE(Table1[Price ($)])</f>
        <v>297.05882352941177</v>
      </c>
    </row>
    <row r="12" spans="1:16" ht="15.75" customHeight="1" x14ac:dyDescent="0.25">
      <c r="A12" s="9" t="s">
        <v>46</v>
      </c>
      <c r="B12" s="9" t="str">
        <f t="shared" si="0"/>
        <v>JUN</v>
      </c>
      <c r="C12" s="9" t="str">
        <f t="shared" si="1"/>
        <v>IN</v>
      </c>
      <c r="D12" s="10" t="s">
        <v>8</v>
      </c>
      <c r="E12" s="10" t="str">
        <f t="shared" si="2"/>
        <v>La</v>
      </c>
      <c r="F12" s="10" t="s">
        <v>47</v>
      </c>
      <c r="G12" s="10" t="e" cm="1" vm="1">
        <f t="array" aca="1" ref="G12" ca="1">IF(H11:H44&gt;=500,"HIGH PRICE","STANDARD PRICE")</f>
        <v>#VALUE!</v>
      </c>
      <c r="H12" s="11">
        <v>950</v>
      </c>
      <c r="I12" s="11">
        <v>25</v>
      </c>
      <c r="J12" s="12" t="s">
        <v>11</v>
      </c>
    </row>
    <row r="13" spans="1:16" ht="15.75" customHeight="1" x14ac:dyDescent="0.25">
      <c r="A13" s="13" t="s">
        <v>49</v>
      </c>
      <c r="B13" s="13" t="str">
        <f t="shared" si="0"/>
        <v>NOV</v>
      </c>
      <c r="C13" s="13" t="str">
        <f t="shared" si="1"/>
        <v>AU</v>
      </c>
      <c r="D13" s="14" t="s">
        <v>13</v>
      </c>
      <c r="E13" s="14" t="str">
        <f t="shared" si="2"/>
        <v>Sn</v>
      </c>
      <c r="F13" s="14" t="s">
        <v>35</v>
      </c>
      <c r="G13" s="14" t="e" cm="1" vm="1">
        <f t="array" aca="1" ref="G13" ca="1">IF(H12:H45&gt;=500,"HIGH PRICE","STANDARD PRICE")</f>
        <v>#VALUE!</v>
      </c>
      <c r="H13" s="15">
        <v>90</v>
      </c>
      <c r="I13" s="15">
        <v>40</v>
      </c>
      <c r="J13" s="16" t="s">
        <v>15</v>
      </c>
    </row>
    <row r="14" spans="1:16" ht="15.75" customHeight="1" x14ac:dyDescent="0.25">
      <c r="A14" s="9" t="s">
        <v>50</v>
      </c>
      <c r="B14" s="9" t="str">
        <f t="shared" si="0"/>
        <v>DEC</v>
      </c>
      <c r="C14" s="9" t="str">
        <f t="shared" si="1"/>
        <v>DE</v>
      </c>
      <c r="D14" s="10" t="s">
        <v>18</v>
      </c>
      <c r="E14" s="10" t="str">
        <f t="shared" si="2"/>
        <v>Co</v>
      </c>
      <c r="F14" s="10" t="s">
        <v>51</v>
      </c>
      <c r="G14" s="10" t="e" cm="1" vm="1">
        <f t="array" aca="1" ref="G14" ca="1">IF(H13:H46&gt;=500,"HIGH PRICE","STANDARD PRICE")</f>
        <v>#VALUE!</v>
      </c>
      <c r="H14" s="11">
        <v>120</v>
      </c>
      <c r="I14" s="11">
        <v>35</v>
      </c>
      <c r="J14" s="12" t="s">
        <v>20</v>
      </c>
      <c r="L14" t="s">
        <v>112</v>
      </c>
    </row>
    <row r="15" spans="1:16" ht="15.75" customHeight="1" x14ac:dyDescent="0.25">
      <c r="A15" s="13" t="s">
        <v>52</v>
      </c>
      <c r="B15" s="13" t="str">
        <f t="shared" si="0"/>
        <v>FEB</v>
      </c>
      <c r="C15" s="13" t="str">
        <f t="shared" si="1"/>
        <v>CA</v>
      </c>
      <c r="D15" s="14" t="s">
        <v>53</v>
      </c>
      <c r="E15" s="14" t="str">
        <f t="shared" si="2"/>
        <v>Sm</v>
      </c>
      <c r="F15" s="14" t="s">
        <v>54</v>
      </c>
      <c r="G15" s="14" t="e" cm="1" vm="1">
        <f t="array" aca="1" ref="G15" ca="1">IF(H14:H47&gt;=500,"HIGH PRICE","STANDARD PRICE")</f>
        <v>#VALUE!</v>
      </c>
      <c r="H15" s="15">
        <v>150</v>
      </c>
      <c r="I15" s="15">
        <v>15</v>
      </c>
      <c r="J15" s="16" t="s">
        <v>11</v>
      </c>
    </row>
    <row r="16" spans="1:16" ht="15.75" customHeight="1" x14ac:dyDescent="0.25">
      <c r="A16" s="9" t="s">
        <v>56</v>
      </c>
      <c r="B16" s="9" t="str">
        <f t="shared" si="0"/>
        <v>APR</v>
      </c>
      <c r="C16" s="9" t="str">
        <f t="shared" si="1"/>
        <v>ES</v>
      </c>
      <c r="D16" s="10" t="s">
        <v>31</v>
      </c>
      <c r="E16" s="10" t="str">
        <f t="shared" si="2"/>
        <v>He</v>
      </c>
      <c r="F16" s="10" t="s">
        <v>57</v>
      </c>
      <c r="G16" s="10" t="e" cm="1" vm="1">
        <f t="array" aca="1" ref="G16" ca="1">IF(H15:H48&gt;=500,"HIGH PRICE","STANDARD PRICE")</f>
        <v>#VALUE!</v>
      </c>
      <c r="H16" s="11">
        <v>250</v>
      </c>
      <c r="I16" s="11">
        <v>20</v>
      </c>
      <c r="J16" s="12" t="s">
        <v>11</v>
      </c>
      <c r="L16" t="s">
        <v>113</v>
      </c>
      <c r="M16">
        <f>MIN(Table1[Price ($)])</f>
        <v>30</v>
      </c>
    </row>
    <row r="17" spans="1:13" ht="15.75" customHeight="1" x14ac:dyDescent="0.25">
      <c r="A17" s="13" t="s">
        <v>58</v>
      </c>
      <c r="B17" s="13" t="str">
        <f t="shared" si="0"/>
        <v>AUG</v>
      </c>
      <c r="C17" s="13" t="str">
        <f t="shared" si="1"/>
        <v>CA</v>
      </c>
      <c r="D17" s="14" t="s">
        <v>59</v>
      </c>
      <c r="E17" s="14" t="str">
        <f t="shared" si="2"/>
        <v>La</v>
      </c>
      <c r="F17" s="14" t="s">
        <v>60</v>
      </c>
      <c r="G17" s="14" t="e" cm="1" vm="1">
        <f t="array" aca="1" ref="G17" ca="1">IF(H16:H49&gt;=500,"HIGH PRICE","STANDARD PRICE")</f>
        <v>#VALUE!</v>
      </c>
      <c r="H17" s="15">
        <v>50</v>
      </c>
      <c r="I17" s="15">
        <v>35</v>
      </c>
      <c r="J17" s="16" t="s">
        <v>61</v>
      </c>
      <c r="L17" t="s">
        <v>114</v>
      </c>
      <c r="M17">
        <f>MAX(Table1[Price ($)])</f>
        <v>1000</v>
      </c>
    </row>
    <row r="18" spans="1:13" ht="15.75" customHeight="1" x14ac:dyDescent="0.25">
      <c r="A18" s="9" t="s">
        <v>62</v>
      </c>
      <c r="B18" s="9" t="str">
        <f t="shared" si="0"/>
        <v>AUG</v>
      </c>
      <c r="C18" s="9" t="str">
        <f t="shared" si="1"/>
        <v>CN</v>
      </c>
      <c r="D18" s="10" t="s">
        <v>53</v>
      </c>
      <c r="E18" s="10" t="str">
        <f t="shared" si="2"/>
        <v>Sm</v>
      </c>
      <c r="F18" s="10" t="s">
        <v>63</v>
      </c>
      <c r="G18" s="10" t="e" cm="1" vm="1">
        <f t="array" aca="1" ref="G18" ca="1">IF(H17:H50&gt;=500,"HIGH PRICE","STANDARD PRICE")</f>
        <v>#VALUE!</v>
      </c>
      <c r="H18" s="11">
        <v>160</v>
      </c>
      <c r="I18" s="11">
        <v>15</v>
      </c>
      <c r="J18" s="12" t="s">
        <v>11</v>
      </c>
    </row>
    <row r="19" spans="1:13" ht="15.75" customHeight="1" x14ac:dyDescent="0.25">
      <c r="A19" s="13" t="s">
        <v>64</v>
      </c>
      <c r="B19" s="13" t="str">
        <f t="shared" si="0"/>
        <v>JAN</v>
      </c>
      <c r="C19" s="13" t="str">
        <f t="shared" si="1"/>
        <v>IT</v>
      </c>
      <c r="D19" s="14" t="s">
        <v>8</v>
      </c>
      <c r="E19" s="14" t="str">
        <f t="shared" si="2"/>
        <v>La</v>
      </c>
      <c r="F19" s="14" t="s">
        <v>65</v>
      </c>
      <c r="G19" s="14" t="e" cm="1" vm="1">
        <f t="array" aca="1" ref="G19" ca="1">IF(H18:H51&gt;=500,"HIGH PRICE","STANDARD PRICE")</f>
        <v>#VALUE!</v>
      </c>
      <c r="H19" s="15">
        <v>980</v>
      </c>
      <c r="I19" s="15">
        <v>10</v>
      </c>
      <c r="J19" s="16" t="s">
        <v>11</v>
      </c>
      <c r="L19" t="s">
        <v>115</v>
      </c>
    </row>
    <row r="20" spans="1:13" ht="15.75" customHeight="1" x14ac:dyDescent="0.25">
      <c r="A20" s="9" t="s">
        <v>66</v>
      </c>
      <c r="B20" s="9" t="str">
        <f t="shared" si="0"/>
        <v>MAR</v>
      </c>
      <c r="C20" s="9" t="str">
        <f t="shared" si="1"/>
        <v>UK</v>
      </c>
      <c r="D20" s="10" t="s">
        <v>67</v>
      </c>
      <c r="E20" s="10" t="str">
        <f t="shared" si="2"/>
        <v>Su</v>
      </c>
      <c r="F20" s="10" t="s">
        <v>68</v>
      </c>
      <c r="G20" s="10" t="e" cm="1" vm="1">
        <f t="array" aca="1" ref="G20" ca="1">IF(H19:H52&gt;=500,"HIGH PRICE","STANDARD PRICE")</f>
        <v>#VALUE!</v>
      </c>
      <c r="H20" s="11">
        <v>150</v>
      </c>
      <c r="I20" s="11">
        <v>15</v>
      </c>
      <c r="J20" s="12" t="s">
        <v>15</v>
      </c>
    </row>
    <row r="21" spans="1:13" ht="15.75" customHeight="1" x14ac:dyDescent="0.25">
      <c r="A21" s="13" t="s">
        <v>69</v>
      </c>
      <c r="B21" s="13" t="str">
        <f t="shared" si="0"/>
        <v>AUG</v>
      </c>
      <c r="C21" s="13" t="str">
        <f t="shared" si="1"/>
        <v>US</v>
      </c>
      <c r="D21" s="14" t="s">
        <v>70</v>
      </c>
      <c r="E21" s="14" t="str">
        <f t="shared" si="2"/>
        <v>Ca</v>
      </c>
      <c r="F21" s="14" t="s">
        <v>71</v>
      </c>
      <c r="G21" s="14" t="e" cm="1" vm="1">
        <f t="array" aca="1" ref="G21" ca="1">IF(H20:H53&gt;=500,"HIGH PRICE","STANDARD PRICE")</f>
        <v>#VALUE!</v>
      </c>
      <c r="H21" s="15">
        <v>200</v>
      </c>
      <c r="I21" s="15">
        <v>10</v>
      </c>
      <c r="J21" s="16" t="s">
        <v>28</v>
      </c>
      <c r="L21" t="str" cm="1">
        <f t="array" ref="L21:L54">IF(H2&gt;Table1[Price ($)],"HIGH PRICE","STANDARD PRICE")</f>
        <v>STANDARD PRICE</v>
      </c>
      <c r="M21" s="23" t="s">
        <v>123</v>
      </c>
    </row>
    <row r="22" spans="1:13" ht="15.75" customHeight="1" x14ac:dyDescent="0.25">
      <c r="A22" s="9" t="s">
        <v>72</v>
      </c>
      <c r="B22" s="9" t="str">
        <f t="shared" si="0"/>
        <v>MAY</v>
      </c>
      <c r="C22" s="9" t="str">
        <f t="shared" si="1"/>
        <v>RU</v>
      </c>
      <c r="D22" s="10" t="s">
        <v>73</v>
      </c>
      <c r="E22" s="10" t="str">
        <f t="shared" si="2"/>
        <v>Ca</v>
      </c>
      <c r="F22" s="10" t="s">
        <v>74</v>
      </c>
      <c r="G22" s="10" t="e" cm="1" vm="1">
        <f t="array" aca="1" ref="G22" ca="1">IF(H21:H54&gt;=500,"HIGH PRICE","STANDARD PRICE")</f>
        <v>#VALUE!</v>
      </c>
      <c r="H22" s="11">
        <v>700</v>
      </c>
      <c r="I22" s="11">
        <v>50</v>
      </c>
      <c r="J22" s="12" t="s">
        <v>11</v>
      </c>
      <c r="L22" t="str">
        <v>HIGH PRICE</v>
      </c>
    </row>
    <row r="23" spans="1:13" ht="15.75" customHeight="1" x14ac:dyDescent="0.25">
      <c r="A23" s="13" t="s">
        <v>76</v>
      </c>
      <c r="B23" s="13" t="str">
        <f t="shared" si="0"/>
        <v>JAN</v>
      </c>
      <c r="C23" s="13" t="str">
        <f t="shared" si="1"/>
        <v>CA</v>
      </c>
      <c r="D23" s="14" t="s">
        <v>77</v>
      </c>
      <c r="E23" s="14" t="str">
        <f t="shared" si="2"/>
        <v>Mi</v>
      </c>
      <c r="F23" s="14" t="s">
        <v>78</v>
      </c>
      <c r="G23" s="14" t="e" cm="1" vm="1">
        <f t="array" aca="1" ref="G23" ca="1">IF(H22:H55&gt;=500,"HIGH PRICE","STANDARD PRICE")</f>
        <v>#VALUE!</v>
      </c>
      <c r="H23" s="15">
        <v>80</v>
      </c>
      <c r="I23" s="15">
        <v>20</v>
      </c>
      <c r="J23" s="16" t="s">
        <v>20</v>
      </c>
      <c r="L23" t="str">
        <v>HIGH PRICE</v>
      </c>
    </row>
    <row r="24" spans="1:13" ht="15.75" customHeight="1" x14ac:dyDescent="0.25">
      <c r="A24" s="9" t="s">
        <v>79</v>
      </c>
      <c r="B24" s="9" t="str">
        <f t="shared" si="0"/>
        <v>JUL</v>
      </c>
      <c r="C24" s="9" t="str">
        <f t="shared" si="1"/>
        <v>BR</v>
      </c>
      <c r="D24" s="10" t="s">
        <v>80</v>
      </c>
      <c r="E24" s="10" t="str">
        <f t="shared" si="2"/>
        <v>Fi</v>
      </c>
      <c r="F24" s="10" t="s">
        <v>81</v>
      </c>
      <c r="G24" s="10" t="e" cm="1" vm="1">
        <f t="array" aca="1" ref="G24" ca="1">IF(H23:H56&gt;=500,"HIGH PRICE","STANDARD PRICE")</f>
        <v>#VALUE!</v>
      </c>
      <c r="H24" s="11">
        <v>150</v>
      </c>
      <c r="I24" s="11">
        <v>30</v>
      </c>
      <c r="J24" s="12" t="s">
        <v>11</v>
      </c>
      <c r="L24" t="str">
        <v>HIGH PRICE</v>
      </c>
    </row>
    <row r="25" spans="1:13" ht="15.75" customHeight="1" x14ac:dyDescent="0.25">
      <c r="A25" s="13" t="s">
        <v>58</v>
      </c>
      <c r="B25" s="13" t="str">
        <f t="shared" si="0"/>
        <v>AUG</v>
      </c>
      <c r="C25" s="13" t="str">
        <f t="shared" si="1"/>
        <v>CA</v>
      </c>
      <c r="D25" s="14" t="s">
        <v>59</v>
      </c>
      <c r="E25" s="14" t="str">
        <f t="shared" si="2"/>
        <v>La</v>
      </c>
      <c r="F25" s="14" t="s">
        <v>60</v>
      </c>
      <c r="G25" s="14" t="e" cm="1" vm="1">
        <f t="array" aca="1" ref="G25" ca="1">IF(H24:H57&gt;=500,"HIGH PRICE","STANDARD PRICE")</f>
        <v>#VALUE!</v>
      </c>
      <c r="H25" s="15">
        <v>50</v>
      </c>
      <c r="I25" s="15">
        <v>35</v>
      </c>
      <c r="J25" s="16" t="s">
        <v>61</v>
      </c>
      <c r="L25" t="str">
        <v>HIGH PRICE</v>
      </c>
    </row>
    <row r="26" spans="1:13" ht="15.75" customHeight="1" x14ac:dyDescent="0.25">
      <c r="A26" s="9" t="s">
        <v>82</v>
      </c>
      <c r="B26" s="9" t="str">
        <f t="shared" si="0"/>
        <v>SEP</v>
      </c>
      <c r="C26" s="9" t="str">
        <f t="shared" si="1"/>
        <v>CA</v>
      </c>
      <c r="D26" s="10" t="s">
        <v>22</v>
      </c>
      <c r="E26" s="10" t="str">
        <f t="shared" si="2"/>
        <v>Sm</v>
      </c>
      <c r="F26" s="10" t="s">
        <v>84</v>
      </c>
      <c r="G26" s="10" t="e" cm="1" vm="1">
        <f t="array" aca="1" ref="G26" ca="1">IF(H25:H58&gt;=500,"HIGH PRICE","STANDARD PRICE")</f>
        <v>#VALUE!</v>
      </c>
      <c r="H26" s="11">
        <v>800</v>
      </c>
      <c r="I26" s="11">
        <v>45</v>
      </c>
      <c r="J26" s="12" t="s">
        <v>11</v>
      </c>
      <c r="L26" t="str">
        <v>HIGH PRICE</v>
      </c>
    </row>
    <row r="27" spans="1:13" ht="15.75" customHeight="1" x14ac:dyDescent="0.25">
      <c r="A27" s="13" t="s">
        <v>85</v>
      </c>
      <c r="B27" s="13" t="str">
        <f t="shared" si="0"/>
        <v>JUN</v>
      </c>
      <c r="C27" s="13" t="str">
        <f t="shared" si="1"/>
        <v>CA</v>
      </c>
      <c r="D27" s="14" t="s">
        <v>67</v>
      </c>
      <c r="E27" s="14" t="str">
        <f t="shared" si="2"/>
        <v>Su</v>
      </c>
      <c r="F27" s="14" t="s">
        <v>86</v>
      </c>
      <c r="G27" s="14" t="e" cm="1" vm="1">
        <f t="array" aca="1" ref="G27" ca="1">IF(H26:H59&gt;=500,"HIGH PRICE","STANDARD PRICE")</f>
        <v>#VALUE!</v>
      </c>
      <c r="H27" s="15">
        <v>130</v>
      </c>
      <c r="I27" s="15">
        <v>25</v>
      </c>
      <c r="J27" s="16" t="s">
        <v>15</v>
      </c>
      <c r="L27" t="str">
        <v>HIGH PRICE</v>
      </c>
    </row>
    <row r="28" spans="1:13" ht="15.75" customHeight="1" x14ac:dyDescent="0.25">
      <c r="A28" s="9" t="s">
        <v>87</v>
      </c>
      <c r="B28" s="9" t="str">
        <f t="shared" si="0"/>
        <v>JUL</v>
      </c>
      <c r="C28" s="9" t="str">
        <f t="shared" si="1"/>
        <v>CA</v>
      </c>
      <c r="D28" s="10" t="s">
        <v>37</v>
      </c>
      <c r="E28" s="10" t="str">
        <f t="shared" si="2"/>
        <v>Bl</v>
      </c>
      <c r="F28" s="10" t="s">
        <v>88</v>
      </c>
      <c r="G28" s="10" t="e" cm="1" vm="1">
        <f t="array" aca="1" ref="G28" ca="1">IF(H27:H60&gt;=500,"HIGH PRICE","STANDARD PRICE")</f>
        <v>#VALUE!</v>
      </c>
      <c r="H28" s="11">
        <v>400</v>
      </c>
      <c r="I28" s="11">
        <v>40</v>
      </c>
      <c r="J28" s="12" t="s">
        <v>20</v>
      </c>
      <c r="L28" t="str">
        <v>HIGH PRICE</v>
      </c>
    </row>
    <row r="29" spans="1:13" ht="15.75" customHeight="1" x14ac:dyDescent="0.25">
      <c r="A29" s="13" t="s">
        <v>56</v>
      </c>
      <c r="B29" s="13" t="str">
        <f t="shared" si="0"/>
        <v>APR</v>
      </c>
      <c r="C29" s="13" t="str">
        <f t="shared" si="1"/>
        <v>ES</v>
      </c>
      <c r="D29" s="14" t="s">
        <v>31</v>
      </c>
      <c r="E29" s="14" t="str">
        <f t="shared" si="2"/>
        <v>He</v>
      </c>
      <c r="F29" s="14" t="s">
        <v>57</v>
      </c>
      <c r="G29" s="14" t="e" cm="1" vm="1">
        <f t="array" aca="1" ref="G29" ca="1">IF(H28:H61&gt;=500,"HIGH PRICE","STANDARD PRICE")</f>
        <v>#VALUE!</v>
      </c>
      <c r="H29" s="15">
        <v>230</v>
      </c>
      <c r="I29" s="15">
        <v>20</v>
      </c>
      <c r="J29" s="16" t="s">
        <v>11</v>
      </c>
      <c r="L29" t="str">
        <v>HIGH PRICE</v>
      </c>
    </row>
    <row r="30" spans="1:13" ht="15.75" customHeight="1" x14ac:dyDescent="0.25">
      <c r="A30" s="9" t="s">
        <v>89</v>
      </c>
      <c r="B30" s="9" t="str">
        <f t="shared" si="0"/>
        <v>MAR</v>
      </c>
      <c r="C30" s="9" t="str">
        <f t="shared" si="1"/>
        <v>CA</v>
      </c>
      <c r="D30" s="10" t="s">
        <v>90</v>
      </c>
      <c r="E30" s="10" t="str">
        <f t="shared" si="2"/>
        <v>Dr</v>
      </c>
      <c r="F30" s="10" t="s">
        <v>91</v>
      </c>
      <c r="G30" s="10" t="e" cm="1" vm="1">
        <f t="array" aca="1" ref="G30" ca="1">IF(H29:H62&gt;=500,"HIGH PRICE","STANDARD PRICE")</f>
        <v>#VALUE!</v>
      </c>
      <c r="H30" s="11">
        <v>60</v>
      </c>
      <c r="I30" s="11">
        <v>30</v>
      </c>
      <c r="J30" s="12" t="s">
        <v>15</v>
      </c>
      <c r="L30" t="str">
        <v>HIGH PRICE</v>
      </c>
    </row>
    <row r="31" spans="1:13" ht="15.75" customHeight="1" x14ac:dyDescent="0.25">
      <c r="A31" s="13" t="s">
        <v>92</v>
      </c>
      <c r="B31" s="13" t="str">
        <f t="shared" si="0"/>
        <v>APR</v>
      </c>
      <c r="C31" s="13" t="str">
        <f t="shared" si="1"/>
        <v>CA</v>
      </c>
      <c r="D31" s="14" t="s">
        <v>93</v>
      </c>
      <c r="E31" s="14" t="str">
        <f t="shared" si="2"/>
        <v>To</v>
      </c>
      <c r="F31" s="14" t="s">
        <v>94</v>
      </c>
      <c r="G31" s="14" t="e" cm="1" vm="1">
        <f t="array" aca="1" ref="G31" ca="1">IF(H30:H63&gt;=500,"HIGH PRICE","STANDARD PRICE")</f>
        <v>#VALUE!</v>
      </c>
      <c r="H31" s="15">
        <v>40</v>
      </c>
      <c r="I31" s="15">
        <v>10</v>
      </c>
      <c r="J31" s="16" t="s">
        <v>20</v>
      </c>
      <c r="L31" t="str">
        <v>HIGH PRICE</v>
      </c>
    </row>
    <row r="32" spans="1:13" ht="15.75" customHeight="1" x14ac:dyDescent="0.25">
      <c r="A32" s="9" t="s">
        <v>95</v>
      </c>
      <c r="B32" s="9" t="str">
        <f t="shared" si="0"/>
        <v>MAY</v>
      </c>
      <c r="C32" s="9" t="str">
        <f t="shared" si="1"/>
        <v>CA</v>
      </c>
      <c r="D32" s="10" t="s">
        <v>80</v>
      </c>
      <c r="E32" s="10" t="str">
        <f t="shared" si="2"/>
        <v>Fi</v>
      </c>
      <c r="F32" s="10" t="s">
        <v>96</v>
      </c>
      <c r="G32" s="10" t="e" cm="1" vm="1">
        <f t="array" aca="1" ref="G32" ca="1">IF(H31:H64&gt;=500,"HIGH PRICE","STANDARD PRICE")</f>
        <v>#VALUE!</v>
      </c>
      <c r="H32" s="11">
        <v>130</v>
      </c>
      <c r="I32" s="11">
        <v>5</v>
      </c>
      <c r="J32" s="12" t="s">
        <v>11</v>
      </c>
      <c r="L32" t="str">
        <v>HIGH PRICE</v>
      </c>
    </row>
    <row r="33" spans="1:12" ht="15.75" customHeight="1" x14ac:dyDescent="0.25">
      <c r="A33" s="13" t="s">
        <v>98</v>
      </c>
      <c r="B33" s="13" t="str">
        <f t="shared" si="0"/>
        <v>DEC</v>
      </c>
      <c r="C33" s="13" t="str">
        <f t="shared" si="1"/>
        <v>CA</v>
      </c>
      <c r="D33" s="14" t="s">
        <v>99</v>
      </c>
      <c r="E33" s="14" t="str">
        <f t="shared" si="2"/>
        <v>Je</v>
      </c>
      <c r="F33" s="14" t="s">
        <v>100</v>
      </c>
      <c r="G33" s="14" t="e" cm="1" vm="1">
        <f t="array" aca="1" ref="G33" ca="1">IF(H32:H65&gt;=500,"HIGH PRICE","STANDARD PRICE")</f>
        <v>#VALUE!</v>
      </c>
      <c r="H33" s="15">
        <v>50</v>
      </c>
      <c r="I33" s="15">
        <v>50</v>
      </c>
      <c r="J33" s="16" t="s">
        <v>15</v>
      </c>
      <c r="L33" t="str">
        <v>HIGH PRICE</v>
      </c>
    </row>
    <row r="34" spans="1:12" ht="15.75" customHeight="1" x14ac:dyDescent="0.25">
      <c r="A34" s="9" t="s">
        <v>46</v>
      </c>
      <c r="B34" s="9" t="str">
        <f t="shared" si="0"/>
        <v>JUN</v>
      </c>
      <c r="C34" s="9" t="str">
        <f t="shared" si="1"/>
        <v>IN</v>
      </c>
      <c r="D34" s="10" t="s">
        <v>8</v>
      </c>
      <c r="E34" s="10" t="str">
        <f t="shared" si="2"/>
        <v>La</v>
      </c>
      <c r="F34" s="10" t="s">
        <v>47</v>
      </c>
      <c r="G34" s="10" t="e" cm="1" vm="1">
        <f t="array" aca="1" ref="G34" ca="1">IF(H33:H66&gt;=500,"HIGH PRICE","STANDARD PRICE")</f>
        <v>#VALUE!</v>
      </c>
      <c r="H34" s="11">
        <v>950</v>
      </c>
      <c r="I34" s="11">
        <v>25</v>
      </c>
      <c r="J34" s="12" t="s">
        <v>11</v>
      </c>
      <c r="L34" t="str">
        <v>HIGH PRICE</v>
      </c>
    </row>
    <row r="35" spans="1:12" ht="15.75" customHeight="1" x14ac:dyDescent="0.25">
      <c r="A35" s="17" t="s">
        <v>101</v>
      </c>
      <c r="B35" s="17" t="str">
        <f t="shared" si="0"/>
        <v>JUL</v>
      </c>
      <c r="C35" s="17" t="str">
        <f t="shared" si="1"/>
        <v>FR</v>
      </c>
      <c r="D35" s="18" t="s">
        <v>102</v>
      </c>
      <c r="E35" s="18" t="str">
        <f t="shared" si="2"/>
        <v>Wa</v>
      </c>
      <c r="F35" s="18" t="s">
        <v>103</v>
      </c>
      <c r="G35" s="18" t="e" cm="1" vm="1">
        <f t="array" aca="1" ref="G35" ca="1">IF(H34:H67&gt;=500,"HIGH PRICE","STANDARD PRICE")</f>
        <v>#VALUE!</v>
      </c>
      <c r="H35" s="19">
        <v>100</v>
      </c>
      <c r="I35" s="19">
        <v>20</v>
      </c>
      <c r="J35" s="20" t="s">
        <v>61</v>
      </c>
      <c r="L35" t="str">
        <v>HIGH PRICE</v>
      </c>
    </row>
    <row r="36" spans="1:12" ht="15.75" customHeight="1" x14ac:dyDescent="0.25">
      <c r="L36" t="str">
        <v>HIGH PRICE</v>
      </c>
    </row>
    <row r="37" spans="1:12" ht="15.75" customHeight="1" x14ac:dyDescent="0.25">
      <c r="L37" t="str">
        <v>HIGH PRICE</v>
      </c>
    </row>
    <row r="38" spans="1:12" ht="15.75" customHeight="1" x14ac:dyDescent="0.25">
      <c r="L38" t="str">
        <v>HIGH PRICE</v>
      </c>
    </row>
    <row r="39" spans="1:12" ht="15.75" customHeight="1" x14ac:dyDescent="0.25">
      <c r="L39" t="str">
        <v>HIGH PRICE</v>
      </c>
    </row>
    <row r="40" spans="1:12" ht="15.75" customHeight="1" x14ac:dyDescent="0.25">
      <c r="L40" t="str">
        <v>HIGH PRICE</v>
      </c>
    </row>
    <row r="41" spans="1:12" ht="15.75" customHeight="1" x14ac:dyDescent="0.25">
      <c r="L41" t="str">
        <v>HIGH PRICE</v>
      </c>
    </row>
    <row r="42" spans="1:12" ht="15.75" customHeight="1" x14ac:dyDescent="0.25">
      <c r="L42" t="str">
        <v>HIGH PRICE</v>
      </c>
    </row>
    <row r="43" spans="1:12" ht="15.75" customHeight="1" x14ac:dyDescent="0.25">
      <c r="L43" t="str">
        <v>HIGH PRICE</v>
      </c>
    </row>
    <row r="44" spans="1:12" ht="15.75" customHeight="1" x14ac:dyDescent="0.25">
      <c r="L44" t="str">
        <v>HIGH PRICE</v>
      </c>
    </row>
    <row r="45" spans="1:12" ht="15.75" customHeight="1" x14ac:dyDescent="0.25">
      <c r="L45" t="str">
        <v>HIGH PRICE</v>
      </c>
    </row>
    <row r="46" spans="1:12" ht="15.75" customHeight="1" x14ac:dyDescent="0.25">
      <c r="L46" t="str">
        <v>HIGH PRICE</v>
      </c>
    </row>
    <row r="47" spans="1:12" ht="15.75" customHeight="1" x14ac:dyDescent="0.25">
      <c r="L47" t="str">
        <v>HIGH PRICE</v>
      </c>
    </row>
    <row r="48" spans="1:12" ht="15.75" customHeight="1" x14ac:dyDescent="0.25">
      <c r="L48" t="str">
        <v>HIGH PRICE</v>
      </c>
    </row>
    <row r="49" spans="12:12" ht="15.75" customHeight="1" x14ac:dyDescent="0.25">
      <c r="L49" t="str">
        <v>HIGH PRICE</v>
      </c>
    </row>
    <row r="50" spans="12:12" ht="15.75" customHeight="1" x14ac:dyDescent="0.25">
      <c r="L50" t="str">
        <v>HIGH PRICE</v>
      </c>
    </row>
    <row r="51" spans="12:12" ht="15.75" customHeight="1" x14ac:dyDescent="0.25">
      <c r="L51" t="str">
        <v>HIGH PRICE</v>
      </c>
    </row>
    <row r="52" spans="12:12" ht="15.75" customHeight="1" x14ac:dyDescent="0.25">
      <c r="L52" t="str">
        <v>HIGH PRICE</v>
      </c>
    </row>
    <row r="53" spans="12:12" ht="15.75" customHeight="1" x14ac:dyDescent="0.25">
      <c r="L53" t="str">
        <v>HIGH PRICE</v>
      </c>
    </row>
    <row r="54" spans="12:12" ht="15.75" customHeight="1" x14ac:dyDescent="0.25">
      <c r="L54" t="str">
        <v>HIGH PRICE</v>
      </c>
    </row>
    <row r="55" spans="12:12" ht="15.75" customHeight="1" x14ac:dyDescent="0.25"/>
    <row r="56" spans="12:12" ht="15.75" customHeight="1" x14ac:dyDescent="0.3">
      <c r="L56" s="3" t="s">
        <v>97</v>
      </c>
    </row>
    <row r="57" spans="12:12" ht="15.75" customHeight="1" x14ac:dyDescent="0.25"/>
    <row r="58" spans="12:12" ht="15.75" customHeight="1" x14ac:dyDescent="0.25">
      <c r="L58" s="22" t="s">
        <v>117</v>
      </c>
    </row>
    <row r="59" spans="12:12" ht="15.75" customHeight="1" x14ac:dyDescent="0.25">
      <c r="L59">
        <f>SUMIF(Table1[Category],Dataset!J2,Table1[Price ($)])</f>
        <v>8050</v>
      </c>
    </row>
    <row r="60" spans="12:12" ht="15.75" customHeight="1" x14ac:dyDescent="0.25"/>
    <row r="61" spans="12:12" ht="15.75" customHeight="1" x14ac:dyDescent="0.25">
      <c r="L61" t="s">
        <v>118</v>
      </c>
    </row>
    <row r="62" spans="12:12" ht="15.75" customHeight="1" x14ac:dyDescent="0.25">
      <c r="L62">
        <f>SUMIFS(H2:H35,D2:D35,D4,F2:F35,F19)</f>
        <v>0</v>
      </c>
    </row>
    <row r="63" spans="12:12" ht="15.75" customHeight="1" x14ac:dyDescent="0.25">
      <c r="L63" t="s">
        <v>119</v>
      </c>
    </row>
    <row r="64" spans="12:12" ht="15.75" customHeight="1" x14ac:dyDescent="0.25">
      <c r="L64">
        <v>12</v>
      </c>
    </row>
    <row r="65" spans="12:12" ht="15.75" customHeight="1" x14ac:dyDescent="0.25">
      <c r="L65">
        <f>COUNTIF(H2:H35,)</f>
        <v>0</v>
      </c>
    </row>
    <row r="66" spans="12:12" ht="15.75" customHeight="1" x14ac:dyDescent="0.25"/>
    <row r="67" spans="12:12" ht="15.75" customHeight="1" x14ac:dyDescent="0.3">
      <c r="L67" s="3" t="s">
        <v>106</v>
      </c>
    </row>
    <row r="68" spans="12:12" ht="15.75" customHeight="1" x14ac:dyDescent="0.25"/>
    <row r="69" spans="12:12" ht="15.75" customHeight="1" x14ac:dyDescent="0.35">
      <c r="L69" s="4" t="s">
        <v>107</v>
      </c>
    </row>
    <row r="70" spans="12:12" ht="15.75" customHeight="1" x14ac:dyDescent="0.35">
      <c r="L70" s="4" t="s">
        <v>108</v>
      </c>
    </row>
    <row r="71" spans="12:12" ht="15.75" customHeight="1" x14ac:dyDescent="0.35">
      <c r="L71" s="4" t="s">
        <v>109</v>
      </c>
    </row>
    <row r="72" spans="12:12" ht="15.75" customHeight="1" x14ac:dyDescent="0.25"/>
    <row r="73" spans="12:12" ht="15.75" customHeight="1" x14ac:dyDescent="0.25"/>
    <row r="74" spans="12:12" ht="15.75" customHeight="1" x14ac:dyDescent="0.25"/>
    <row r="75" spans="12:12" ht="15.75" customHeight="1" x14ac:dyDescent="0.25"/>
    <row r="76" spans="12:12" ht="15.75" customHeight="1" x14ac:dyDescent="0.25"/>
    <row r="77" spans="12:12" ht="15.75" customHeight="1" x14ac:dyDescent="0.25"/>
    <row r="78" spans="12:12" ht="15.75" customHeight="1" x14ac:dyDescent="0.25"/>
    <row r="79" spans="12:12" ht="15.75" customHeight="1" x14ac:dyDescent="0.25"/>
    <row r="80" spans="12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M21" r:id="rId1" xr:uid="{97F48529-1E11-40F3-8B21-E311253A8482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 Teja Gorre</cp:lastModifiedBy>
  <dcterms:modified xsi:type="dcterms:W3CDTF">2026-09-10T09:27:50Z</dcterms:modified>
</cp:coreProperties>
</file>